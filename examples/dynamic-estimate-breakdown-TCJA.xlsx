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 codeName="ThisWorkbook" defaultThemeVersion="124226"/>
  <xr:revisionPtr revIDLastSave="0" documentId="13_ncr:1_{6C7FCBD4-5FC0-2147-9E57-F6D35898E9AD}" xr6:coauthVersionLast="47" xr6:coauthVersionMax="47" xr10:uidLastSave="{00000000-0000-0000-0000-000000000000}"/>
  <bookViews>
    <workbookView xWindow="0" yWindow="760" windowWidth="30240" windowHeight="16860" xr2:uid="{00000000-000D-0000-FFFF-FFFF00000000}"/>
  </bookViews>
  <sheets>
    <sheet name="CBO Original" sheetId="151" r:id="rId1"/>
  </sheets>
  <definedNames>
    <definedName name="_xlnm.Print_Area" localSheetId="0">'CBO Original'!$A$1:$O$10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51" l="1"/>
  <c r="E9" i="151"/>
  <c r="F9" i="151"/>
  <c r="G9" i="151"/>
  <c r="H9" i="151"/>
  <c r="I9" i="151"/>
  <c r="J9" i="151"/>
  <c r="K9" i="151"/>
  <c r="L9" i="151"/>
  <c r="C9" i="151"/>
  <c r="N7" i="151"/>
  <c r="N8" i="151"/>
  <c r="M7" i="151"/>
  <c r="M8" i="151"/>
  <c r="N6" i="151"/>
  <c r="M6" i="151"/>
  <c r="N9" i="151" l="1"/>
  <c r="M9" i="151"/>
</calcChain>
</file>

<file path=xl/sharedStrings.xml><?xml version="1.0" encoding="utf-8"?>
<sst xmlns="http://schemas.openxmlformats.org/spreadsheetml/2006/main" count="14" uniqueCount="11">
  <si>
    <t>Millions of dollars</t>
  </si>
  <si>
    <t>Source</t>
  </si>
  <si>
    <t>2025–
2029</t>
  </si>
  <si>
    <t>2025–
2034</t>
  </si>
  <si>
    <t>Budgetary effects of selected alternative assumptions about policies affecting revenues</t>
  </si>
  <si>
    <t>Total increase in the primary deficit</t>
  </si>
  <si>
    <t>OFRA</t>
  </si>
  <si>
    <t>Dynamic Estimate of the Budgetary Effects of TCJA Extension, by Fiscal Year</t>
  </si>
  <si>
    <t>Increase in the primary deficit due to tax rates</t>
  </si>
  <si>
    <t>Increase in the primary deficit due to behavioral response</t>
  </si>
  <si>
    <t>Increase in the primary deficit due to macroeconomic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</si>
</sst>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_)"/>
  </numFmts>
  <fonts count="4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8"/>
      <color theme="3"/>
      <name val="Cambria"/>
      <family val="2"/>
      <scheme val="major"/>
    </font>
    <font>
      <sz val="10"/>
      <name val="P-TIMES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32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0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11" fillId="0" borderId="0"/>
    <xf numFmtId="0" fontId="7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14" fillId="32" borderId="0" applyNumberFormat="0" applyBorder="0" applyAlignment="0" applyProtection="0"/>
    <xf numFmtId="0" fontId="14" fillId="9" borderId="0" applyNumberFormat="0" applyBorder="0" applyAlignment="0" applyProtection="0"/>
    <xf numFmtId="0" fontId="14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9" borderId="0" applyNumberFormat="0" applyBorder="0" applyAlignment="0" applyProtection="0"/>
    <xf numFmtId="0" fontId="15" fillId="3" borderId="0" applyNumberFormat="0" applyBorder="0" applyAlignment="0" applyProtection="0"/>
    <xf numFmtId="0" fontId="16" fillId="6" borderId="4" applyNumberFormat="0" applyAlignment="0" applyProtection="0"/>
    <xf numFmtId="0" fontId="17" fillId="7" borderId="7" applyNumberForma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4" applyNumberFormat="0" applyAlignment="0" applyProtection="0"/>
    <xf numFmtId="0" fontId="25" fillId="0" borderId="6" applyNumberFormat="0" applyFill="0" applyAlignment="0" applyProtection="0"/>
    <xf numFmtId="0" fontId="26" fillId="4" borderId="0" applyNumberFormat="0" applyBorder="0" applyAlignment="0" applyProtection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8" borderId="8" applyNumberFormat="0" applyFont="0" applyAlignment="0" applyProtection="0"/>
    <xf numFmtId="0" fontId="7" fillId="8" borderId="8" applyNumberFormat="0" applyFont="0" applyAlignment="0" applyProtection="0"/>
    <xf numFmtId="0" fontId="7" fillId="8" borderId="8" applyNumberFormat="0" applyFont="0" applyAlignment="0" applyProtection="0"/>
    <xf numFmtId="0" fontId="13" fillId="8" borderId="8" applyNumberFormat="0" applyFont="0" applyAlignment="0" applyProtection="0"/>
    <xf numFmtId="0" fontId="29" fillId="6" borderId="5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3" fillId="0" borderId="0"/>
    <xf numFmtId="0" fontId="5" fillId="0" borderId="0" applyNumberFormat="0" applyFill="0" applyBorder="0" applyAlignment="0" applyProtection="0"/>
    <xf numFmtId="0" fontId="7" fillId="0" borderId="0"/>
    <xf numFmtId="0" fontId="34" fillId="0" borderId="0" applyNumberFormat="0" applyFill="0" applyBorder="0" applyAlignment="0" applyProtection="0"/>
    <xf numFmtId="0" fontId="35" fillId="0" borderId="0"/>
    <xf numFmtId="0" fontId="13" fillId="0" borderId="0"/>
    <xf numFmtId="0" fontId="36" fillId="0" borderId="0"/>
    <xf numFmtId="0" fontId="13" fillId="8" borderId="8" applyNumberFormat="0" applyFont="0" applyAlignment="0" applyProtection="0"/>
    <xf numFmtId="44" fontId="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7" fillId="0" borderId="0"/>
    <xf numFmtId="0" fontId="38" fillId="0" borderId="0"/>
    <xf numFmtId="0" fontId="39" fillId="0" borderId="0" applyNumberFormat="0" applyFill="0" applyBorder="0" applyAlignment="0" applyProtection="0"/>
    <xf numFmtId="0" fontId="3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41" fillId="0" borderId="0" xfId="313" applyNumberFormat="1" applyFont="1" applyAlignment="1">
      <alignment horizontal="left"/>
    </xf>
    <xf numFmtId="164" fontId="41" fillId="0" borderId="0" xfId="313" applyNumberFormat="1" applyFont="1" applyAlignment="1">
      <alignment horizontal="center"/>
    </xf>
    <xf numFmtId="164" fontId="41" fillId="0" borderId="0" xfId="313" applyNumberFormat="1" applyFont="1"/>
    <xf numFmtId="0" fontId="1" fillId="0" borderId="10" xfId="0" applyFont="1" applyBorder="1"/>
    <xf numFmtId="3" fontId="1" fillId="0" borderId="0" xfId="2" applyNumberFormat="1" applyFont="1" applyFill="1" applyBorder="1" applyAlignment="1">
      <alignment horizontal="right"/>
    </xf>
    <xf numFmtId="0" fontId="43" fillId="0" borderId="0" xfId="3" applyFont="1" applyAlignment="1">
      <alignment horizontal="center" wrapText="1"/>
    </xf>
    <xf numFmtId="0" fontId="44" fillId="0" borderId="0" xfId="0" applyFont="1"/>
    <xf numFmtId="164" fontId="45" fillId="0" borderId="10" xfId="313" applyNumberFormat="1" applyFont="1" applyBorder="1"/>
    <xf numFmtId="164" fontId="45" fillId="0" borderId="10" xfId="313" applyNumberFormat="1" applyFont="1" applyBorder="1" applyAlignment="1">
      <alignment horizontal="center" wrapText="1"/>
    </xf>
    <xf numFmtId="0" fontId="45" fillId="0" borderId="10" xfId="313" applyFont="1" applyBorder="1"/>
    <xf numFmtId="0" fontId="44" fillId="0" borderId="10" xfId="0" applyFont="1" applyBorder="1" applyAlignment="1">
      <alignment horizontal="right" wrapText="1"/>
    </xf>
    <xf numFmtId="0" fontId="44" fillId="0" borderId="0" xfId="0" applyFont="1" applyAlignment="1">
      <alignment horizontal="right" wrapText="1"/>
    </xf>
    <xf numFmtId="0" fontId="42" fillId="0" borderId="0" xfId="0" applyFont="1" applyAlignment="1">
      <alignment horizontal="center" vertical="center"/>
    </xf>
    <xf numFmtId="0" fontId="40" fillId="0" borderId="10" xfId="313" applyFont="1" applyBorder="1"/>
    <xf numFmtId="0" fontId="46" fillId="0" borderId="0" xfId="3" applyFont="1" applyAlignment="1">
      <alignment horizontal="center"/>
    </xf>
    <xf numFmtId="0" fontId="46" fillId="0" borderId="0" xfId="3" applyFont="1" applyAlignment="1">
      <alignment horizontal="center" wrapText="1"/>
    </xf>
    <xf numFmtId="0" fontId="42" fillId="0" borderId="0" xfId="0" applyFont="1" applyAlignment="1">
      <alignment horizontal="center"/>
    </xf>
    <xf numFmtId="0" fontId="44" fillId="0" borderId="0" xfId="0" applyFont="1" applyAlignment="1">
      <alignment horizontal="center"/>
    </xf>
  </cellXfs>
  <cellStyles count="329">
    <cellStyle name="20% - Accent1 2" xfId="191" xr:uid="{00000000-0005-0000-0000-000000000000}"/>
    <cellStyle name="20% - Accent2 2" xfId="192" xr:uid="{00000000-0005-0000-0000-000001000000}"/>
    <cellStyle name="20% - Accent3 2" xfId="193" xr:uid="{00000000-0005-0000-0000-000002000000}"/>
    <cellStyle name="20% - Accent4 2" xfId="194" xr:uid="{00000000-0005-0000-0000-000003000000}"/>
    <cellStyle name="20% - Accent5 2" xfId="195" xr:uid="{00000000-0005-0000-0000-000004000000}"/>
    <cellStyle name="20% - Accent6 2" xfId="196" xr:uid="{00000000-0005-0000-0000-000005000000}"/>
    <cellStyle name="40% - Accent1 2" xfId="197" xr:uid="{00000000-0005-0000-0000-000006000000}"/>
    <cellStyle name="40% - Accent2 2" xfId="198" xr:uid="{00000000-0005-0000-0000-000007000000}"/>
    <cellStyle name="40% - Accent3 2" xfId="199" xr:uid="{00000000-0005-0000-0000-000008000000}"/>
    <cellStyle name="40% - Accent4 2" xfId="200" xr:uid="{00000000-0005-0000-0000-000009000000}"/>
    <cellStyle name="40% - Accent5 2" xfId="201" xr:uid="{00000000-0005-0000-0000-00000A000000}"/>
    <cellStyle name="40% - Accent6 2" xfId="202" xr:uid="{00000000-0005-0000-0000-00000B000000}"/>
    <cellStyle name="60% - Accent1 2" xfId="203" xr:uid="{00000000-0005-0000-0000-00000C000000}"/>
    <cellStyle name="60% - Accent2 2" xfId="204" xr:uid="{00000000-0005-0000-0000-00000D000000}"/>
    <cellStyle name="60% - Accent3 2" xfId="205" xr:uid="{00000000-0005-0000-0000-00000E000000}"/>
    <cellStyle name="60% - Accent4 2" xfId="206" xr:uid="{00000000-0005-0000-0000-00000F000000}"/>
    <cellStyle name="60% - Accent5 2" xfId="207" xr:uid="{00000000-0005-0000-0000-000010000000}"/>
    <cellStyle name="60% - Accent6 2" xfId="208" xr:uid="{00000000-0005-0000-0000-000011000000}"/>
    <cellStyle name="Accent1 2" xfId="209" xr:uid="{00000000-0005-0000-0000-000012000000}"/>
    <cellStyle name="Accent2 2" xfId="210" xr:uid="{00000000-0005-0000-0000-000013000000}"/>
    <cellStyle name="Accent3 2" xfId="211" xr:uid="{00000000-0005-0000-0000-000014000000}"/>
    <cellStyle name="Accent4 2" xfId="212" xr:uid="{00000000-0005-0000-0000-000015000000}"/>
    <cellStyle name="Accent5 2" xfId="213" xr:uid="{00000000-0005-0000-0000-000016000000}"/>
    <cellStyle name="Accent6 2" xfId="214" xr:uid="{00000000-0005-0000-0000-000017000000}"/>
    <cellStyle name="Bad 2" xfId="215" xr:uid="{00000000-0005-0000-0000-000018000000}"/>
    <cellStyle name="Calculation 2" xfId="216" xr:uid="{00000000-0005-0000-0000-000019000000}"/>
    <cellStyle name="Check Cell 2" xfId="217" xr:uid="{00000000-0005-0000-0000-00001A000000}"/>
    <cellStyle name="Comma 2" xfId="2" xr:uid="{00000000-0005-0000-0000-00001C000000}"/>
    <cellStyle name="Comma 2 2" xfId="11" xr:uid="{00000000-0005-0000-0000-00001D000000}"/>
    <cellStyle name="Comma 2 3" xfId="218" xr:uid="{00000000-0005-0000-0000-00001E000000}"/>
    <cellStyle name="Comma 2 4" xfId="219" xr:uid="{00000000-0005-0000-0000-00001F000000}"/>
    <cellStyle name="Comma 2 5" xfId="220" xr:uid="{00000000-0005-0000-0000-000020000000}"/>
    <cellStyle name="Comma 2 6" xfId="221" xr:uid="{00000000-0005-0000-0000-000021000000}"/>
    <cellStyle name="Comma 3" xfId="12" xr:uid="{00000000-0005-0000-0000-000022000000}"/>
    <cellStyle name="Comma 4" xfId="222" xr:uid="{00000000-0005-0000-0000-000023000000}"/>
    <cellStyle name="Comma 9" xfId="223" xr:uid="{00000000-0005-0000-0000-000024000000}"/>
    <cellStyle name="Comma0" xfId="224" xr:uid="{00000000-0005-0000-0000-000025000000}"/>
    <cellStyle name="Currency 2" xfId="225" xr:uid="{00000000-0005-0000-0000-000026000000}"/>
    <cellStyle name="Currency 3" xfId="226" xr:uid="{00000000-0005-0000-0000-000027000000}"/>
    <cellStyle name="Currency 4" xfId="321" xr:uid="{00000000-0005-0000-0000-000028000000}"/>
    <cellStyle name="Explanatory Text 2" xfId="227" xr:uid="{00000000-0005-0000-0000-000029000000}"/>
    <cellStyle name="Good 2" xfId="228" xr:uid="{00000000-0005-0000-0000-00002A000000}"/>
    <cellStyle name="Heading 1 2" xfId="229" xr:uid="{00000000-0005-0000-0000-00002B000000}"/>
    <cellStyle name="Heading 2 2" xfId="230" xr:uid="{00000000-0005-0000-0000-00002C000000}"/>
    <cellStyle name="Heading 3 2" xfId="231" xr:uid="{00000000-0005-0000-0000-00002D000000}"/>
    <cellStyle name="Heading 4 2" xfId="232" xr:uid="{00000000-0005-0000-0000-00002E000000}"/>
    <cellStyle name="Hyperlink" xfId="5" builtinId="8" customBuiltin="1"/>
    <cellStyle name="Hyperlink 2" xfId="13" xr:uid="{00000000-0005-0000-0000-000030000000}"/>
    <cellStyle name="Hyperlink 2 2" xfId="323" xr:uid="{00000000-0005-0000-0000-000031000000}"/>
    <cellStyle name="Hyperlink 3" xfId="15" xr:uid="{00000000-0005-0000-0000-000032000000}"/>
    <cellStyle name="Hyperlink 4" xfId="20" xr:uid="{00000000-0005-0000-0000-000033000000}"/>
    <cellStyle name="Hyperlink 5" xfId="314" xr:uid="{00000000-0005-0000-0000-000034000000}"/>
    <cellStyle name="Hyperlink 6" xfId="322" xr:uid="{00000000-0005-0000-0000-000035000000}"/>
    <cellStyle name="Hyperlink 7" xfId="327" xr:uid="{75DE58F2-13F2-4CE5-8766-05946B953389}"/>
    <cellStyle name="Input 2" xfId="233" xr:uid="{00000000-0005-0000-0000-000036000000}"/>
    <cellStyle name="Linked Cell 2" xfId="234" xr:uid="{00000000-0005-0000-0000-000037000000}"/>
    <cellStyle name="Neutral 2" xfId="235" xr:uid="{00000000-0005-0000-0000-000038000000}"/>
    <cellStyle name="Normal" xfId="0" builtinId="0"/>
    <cellStyle name="Normal 10" xfId="18" xr:uid="{00000000-0005-0000-0000-00003A000000}"/>
    <cellStyle name="Normal 10 2" xfId="315" xr:uid="{00000000-0005-0000-0000-00003B000000}"/>
    <cellStyle name="Normal 11" xfId="236" xr:uid="{00000000-0005-0000-0000-00003C000000}"/>
    <cellStyle name="Normal 11 2" xfId="237" xr:uid="{00000000-0005-0000-0000-00003D000000}"/>
    <cellStyle name="Normal 11 3" xfId="238" xr:uid="{00000000-0005-0000-0000-00003E000000}"/>
    <cellStyle name="Normal 11 4" xfId="239" xr:uid="{00000000-0005-0000-0000-00003F000000}"/>
    <cellStyle name="Normal 12" xfId="240" xr:uid="{00000000-0005-0000-0000-000040000000}"/>
    <cellStyle name="Normal 12 2" xfId="241" xr:uid="{00000000-0005-0000-0000-000041000000}"/>
    <cellStyle name="Normal 12 3" xfId="242" xr:uid="{00000000-0005-0000-0000-000042000000}"/>
    <cellStyle name="Normal 12 4" xfId="243" xr:uid="{00000000-0005-0000-0000-000043000000}"/>
    <cellStyle name="Normal 13" xfId="244" xr:uid="{00000000-0005-0000-0000-000044000000}"/>
    <cellStyle name="Normal 13 2" xfId="245" xr:uid="{00000000-0005-0000-0000-000045000000}"/>
    <cellStyle name="Normal 13 3" xfId="246" xr:uid="{00000000-0005-0000-0000-000046000000}"/>
    <cellStyle name="Normal 13 4" xfId="247" xr:uid="{00000000-0005-0000-0000-000047000000}"/>
    <cellStyle name="Normal 14" xfId="248" xr:uid="{00000000-0005-0000-0000-000048000000}"/>
    <cellStyle name="Normal 14 2" xfId="249" xr:uid="{00000000-0005-0000-0000-000049000000}"/>
    <cellStyle name="Normal 15" xfId="250" xr:uid="{00000000-0005-0000-0000-00004A000000}"/>
    <cellStyle name="Normal 16" xfId="251" xr:uid="{00000000-0005-0000-0000-00004B000000}"/>
    <cellStyle name="Normal 17" xfId="252" xr:uid="{00000000-0005-0000-0000-00004C000000}"/>
    <cellStyle name="Normal 18" xfId="312" xr:uid="{00000000-0005-0000-0000-00004D000000}"/>
    <cellStyle name="Normal 18 2" xfId="324" xr:uid="{00000000-0005-0000-0000-00004E000000}"/>
    <cellStyle name="Normal 19" xfId="317" xr:uid="{00000000-0005-0000-0000-00004F000000}"/>
    <cellStyle name="Normal 19 2" xfId="325" xr:uid="{00000000-0005-0000-0000-000050000000}"/>
    <cellStyle name="Normal 2" xfId="3" xr:uid="{00000000-0005-0000-0000-000051000000}"/>
    <cellStyle name="Normal 2 10" xfId="21" xr:uid="{00000000-0005-0000-0000-000052000000}"/>
    <cellStyle name="Normal 2 11" xfId="22" xr:uid="{00000000-0005-0000-0000-000053000000}"/>
    <cellStyle name="Normal 2 12" xfId="253" xr:uid="{00000000-0005-0000-0000-000054000000}"/>
    <cellStyle name="Normal 2 13" xfId="254" xr:uid="{00000000-0005-0000-0000-000055000000}"/>
    <cellStyle name="Normal 2 14" xfId="255" xr:uid="{00000000-0005-0000-0000-000056000000}"/>
    <cellStyle name="Normal 2 15" xfId="256" xr:uid="{00000000-0005-0000-0000-000057000000}"/>
    <cellStyle name="Normal 2 16" xfId="257" xr:uid="{00000000-0005-0000-0000-000058000000}"/>
    <cellStyle name="Normal 2 17" xfId="258" xr:uid="{00000000-0005-0000-0000-000059000000}"/>
    <cellStyle name="Normal 2 18" xfId="259" xr:uid="{00000000-0005-0000-0000-00005A000000}"/>
    <cellStyle name="Normal 2 19" xfId="260" xr:uid="{00000000-0005-0000-0000-00005B000000}"/>
    <cellStyle name="Normal 2 2" xfId="7" xr:uid="{00000000-0005-0000-0000-00005C000000}"/>
    <cellStyle name="Normal 2 2 2" xfId="23" xr:uid="{00000000-0005-0000-0000-00005D000000}"/>
    <cellStyle name="Normal 2 2 2 2" xfId="24" xr:uid="{00000000-0005-0000-0000-00005E000000}"/>
    <cellStyle name="Normal 2 2 2 3" xfId="25" xr:uid="{00000000-0005-0000-0000-00005F000000}"/>
    <cellStyle name="Normal 2 2 3" xfId="26" xr:uid="{00000000-0005-0000-0000-000060000000}"/>
    <cellStyle name="Normal 2 2 3 2" xfId="27" xr:uid="{00000000-0005-0000-0000-000061000000}"/>
    <cellStyle name="Normal 2 2 4" xfId="28" xr:uid="{00000000-0005-0000-0000-000062000000}"/>
    <cellStyle name="Normal 2 2 4 2" xfId="29" xr:uid="{00000000-0005-0000-0000-000063000000}"/>
    <cellStyle name="Normal 2 2 5" xfId="30" xr:uid="{00000000-0005-0000-0000-000064000000}"/>
    <cellStyle name="Normal 2 2 5 2" xfId="31" xr:uid="{00000000-0005-0000-0000-000065000000}"/>
    <cellStyle name="Normal 2 2 6" xfId="32" xr:uid="{00000000-0005-0000-0000-000066000000}"/>
    <cellStyle name="Normal 2 2 7" xfId="33" xr:uid="{00000000-0005-0000-0000-000067000000}"/>
    <cellStyle name="Normal 2 2 8" xfId="34" xr:uid="{00000000-0005-0000-0000-000068000000}"/>
    <cellStyle name="Normal 2 20" xfId="261" xr:uid="{00000000-0005-0000-0000-000069000000}"/>
    <cellStyle name="Normal 2 21" xfId="262" xr:uid="{00000000-0005-0000-0000-00006A000000}"/>
    <cellStyle name="Normal 2 22" xfId="263" xr:uid="{00000000-0005-0000-0000-00006B000000}"/>
    <cellStyle name="Normal 2 23" xfId="264" xr:uid="{00000000-0005-0000-0000-00006C000000}"/>
    <cellStyle name="Normal 2 24" xfId="318" xr:uid="{00000000-0005-0000-0000-00006D000000}"/>
    <cellStyle name="Normal 2 3" xfId="9" xr:uid="{00000000-0005-0000-0000-00006E000000}"/>
    <cellStyle name="Normal 2 3 2" xfId="35" xr:uid="{00000000-0005-0000-0000-00006F000000}"/>
    <cellStyle name="Normal 2 3 2 2" xfId="36" xr:uid="{00000000-0005-0000-0000-000070000000}"/>
    <cellStyle name="Normal 2 3 2 3" xfId="37" xr:uid="{00000000-0005-0000-0000-000071000000}"/>
    <cellStyle name="Normal 2 3 3" xfId="38" xr:uid="{00000000-0005-0000-0000-000072000000}"/>
    <cellStyle name="Normal 2 3 4" xfId="39" xr:uid="{00000000-0005-0000-0000-000073000000}"/>
    <cellStyle name="Normal 2 3 5" xfId="40" xr:uid="{00000000-0005-0000-0000-000074000000}"/>
    <cellStyle name="Normal 2 4" xfId="41" xr:uid="{00000000-0005-0000-0000-000075000000}"/>
    <cellStyle name="Normal 2 4 2" xfId="42" xr:uid="{00000000-0005-0000-0000-000076000000}"/>
    <cellStyle name="Normal 2 5" xfId="43" xr:uid="{00000000-0005-0000-0000-000077000000}"/>
    <cellStyle name="Normal 2 5 2" xfId="44" xr:uid="{00000000-0005-0000-0000-000078000000}"/>
    <cellStyle name="Normal 2 6" xfId="45" xr:uid="{00000000-0005-0000-0000-000079000000}"/>
    <cellStyle name="Normal 2 6 2" xfId="46" xr:uid="{00000000-0005-0000-0000-00007A000000}"/>
    <cellStyle name="Normal 2 7" xfId="47" xr:uid="{00000000-0005-0000-0000-00007B000000}"/>
    <cellStyle name="Normal 2 7 2" xfId="48" xr:uid="{00000000-0005-0000-0000-00007C000000}"/>
    <cellStyle name="Normal 2 8" xfId="49" xr:uid="{00000000-0005-0000-0000-00007D000000}"/>
    <cellStyle name="Normal 2 8 2" xfId="50" xr:uid="{00000000-0005-0000-0000-00007E000000}"/>
    <cellStyle name="Normal 2 9" xfId="51" xr:uid="{00000000-0005-0000-0000-00007F000000}"/>
    <cellStyle name="Normal 20" xfId="319" xr:uid="{00000000-0005-0000-0000-000080000000}"/>
    <cellStyle name="Normal 20 2" xfId="328" xr:uid="{1A41265E-9AAA-4AAA-BD68-6650605E30E6}"/>
    <cellStyle name="Normal 3" xfId="1" xr:uid="{00000000-0005-0000-0000-000081000000}"/>
    <cellStyle name="Normal 3 10" xfId="265" xr:uid="{00000000-0005-0000-0000-000082000000}"/>
    <cellStyle name="Normal 3 11" xfId="266" xr:uid="{00000000-0005-0000-0000-000083000000}"/>
    <cellStyle name="Normal 3 12" xfId="267" xr:uid="{00000000-0005-0000-0000-000084000000}"/>
    <cellStyle name="Normal 3 13" xfId="268" xr:uid="{00000000-0005-0000-0000-000085000000}"/>
    <cellStyle name="Normal 3 14" xfId="326" xr:uid="{00000000-0005-0000-0000-000086000000}"/>
    <cellStyle name="Normal 3 2" xfId="10" xr:uid="{00000000-0005-0000-0000-000087000000}"/>
    <cellStyle name="Normal 3 2 2" xfId="19" xr:uid="{00000000-0005-0000-0000-000088000000}"/>
    <cellStyle name="Normal 3 2 2 2" xfId="52" xr:uid="{00000000-0005-0000-0000-000089000000}"/>
    <cellStyle name="Normal 3 2 3" xfId="53" xr:uid="{00000000-0005-0000-0000-00008A000000}"/>
    <cellStyle name="Normal 3 2 4" xfId="54" xr:uid="{00000000-0005-0000-0000-00008B000000}"/>
    <cellStyle name="Normal 3 3" xfId="55" xr:uid="{00000000-0005-0000-0000-00008C000000}"/>
    <cellStyle name="Normal 3 3 2" xfId="56" xr:uid="{00000000-0005-0000-0000-00008D000000}"/>
    <cellStyle name="Normal 3 3 3" xfId="57" xr:uid="{00000000-0005-0000-0000-00008E000000}"/>
    <cellStyle name="Normal 3 4" xfId="58" xr:uid="{00000000-0005-0000-0000-00008F000000}"/>
    <cellStyle name="Normal 3 4 2" xfId="59" xr:uid="{00000000-0005-0000-0000-000090000000}"/>
    <cellStyle name="Normal 3 5" xfId="60" xr:uid="{00000000-0005-0000-0000-000091000000}"/>
    <cellStyle name="Normal 3 5 2" xfId="61" xr:uid="{00000000-0005-0000-0000-000092000000}"/>
    <cellStyle name="Normal 3 6" xfId="62" xr:uid="{00000000-0005-0000-0000-000093000000}"/>
    <cellStyle name="Normal 3 6 2" xfId="63" xr:uid="{00000000-0005-0000-0000-000094000000}"/>
    <cellStyle name="Normal 3 7" xfId="64" xr:uid="{00000000-0005-0000-0000-000095000000}"/>
    <cellStyle name="Normal 3 8" xfId="65" xr:uid="{00000000-0005-0000-0000-000096000000}"/>
    <cellStyle name="Normal 3 9" xfId="66" xr:uid="{00000000-0005-0000-0000-000097000000}"/>
    <cellStyle name="Normal 4" xfId="4" xr:uid="{00000000-0005-0000-0000-000098000000}"/>
    <cellStyle name="Normal 4 10" xfId="67" xr:uid="{00000000-0005-0000-0000-000099000000}"/>
    <cellStyle name="Normal 4 11" xfId="269" xr:uid="{00000000-0005-0000-0000-00009A000000}"/>
    <cellStyle name="Normal 4 12" xfId="270" xr:uid="{00000000-0005-0000-0000-00009B000000}"/>
    <cellStyle name="Normal 4 13" xfId="271" xr:uid="{00000000-0005-0000-0000-00009C000000}"/>
    <cellStyle name="Normal 4 2" xfId="68" xr:uid="{00000000-0005-0000-0000-00009D000000}"/>
    <cellStyle name="Normal 4 2 2" xfId="69" xr:uid="{00000000-0005-0000-0000-00009E000000}"/>
    <cellStyle name="Normal 4 2 2 2" xfId="70" xr:uid="{00000000-0005-0000-0000-00009F000000}"/>
    <cellStyle name="Normal 4 2 3" xfId="71" xr:uid="{00000000-0005-0000-0000-0000A0000000}"/>
    <cellStyle name="Normal 4 2 4" xfId="72" xr:uid="{00000000-0005-0000-0000-0000A1000000}"/>
    <cellStyle name="Normal 4 2 5" xfId="73" xr:uid="{00000000-0005-0000-0000-0000A2000000}"/>
    <cellStyle name="Normal 4 3" xfId="74" xr:uid="{00000000-0005-0000-0000-0000A3000000}"/>
    <cellStyle name="Normal 4 3 2" xfId="75" xr:uid="{00000000-0005-0000-0000-0000A4000000}"/>
    <cellStyle name="Normal 4 3 3" xfId="76" xr:uid="{00000000-0005-0000-0000-0000A5000000}"/>
    <cellStyle name="Normal 4 3 4" xfId="77" xr:uid="{00000000-0005-0000-0000-0000A6000000}"/>
    <cellStyle name="Normal 4 4" xfId="78" xr:uid="{00000000-0005-0000-0000-0000A7000000}"/>
    <cellStyle name="Normal 4 4 2" xfId="79" xr:uid="{00000000-0005-0000-0000-0000A8000000}"/>
    <cellStyle name="Normal 4 5" xfId="80" xr:uid="{00000000-0005-0000-0000-0000A9000000}"/>
    <cellStyle name="Normal 4 5 2" xfId="81" xr:uid="{00000000-0005-0000-0000-0000AA000000}"/>
    <cellStyle name="Normal 4 6" xfId="82" xr:uid="{00000000-0005-0000-0000-0000AB000000}"/>
    <cellStyle name="Normal 4 6 2" xfId="83" xr:uid="{00000000-0005-0000-0000-0000AC000000}"/>
    <cellStyle name="Normal 4 7" xfId="84" xr:uid="{00000000-0005-0000-0000-0000AD000000}"/>
    <cellStyle name="Normal 4 8" xfId="85" xr:uid="{00000000-0005-0000-0000-0000AE000000}"/>
    <cellStyle name="Normal 4 9" xfId="86" xr:uid="{00000000-0005-0000-0000-0000AF000000}"/>
    <cellStyle name="Normal 5" xfId="6" xr:uid="{00000000-0005-0000-0000-0000B0000000}"/>
    <cellStyle name="Normal 5 10" xfId="190" xr:uid="{00000000-0005-0000-0000-0000B1000000}"/>
    <cellStyle name="Normal 5 11" xfId="272" xr:uid="{00000000-0005-0000-0000-0000B2000000}"/>
    <cellStyle name="Normal 5 12" xfId="273" xr:uid="{00000000-0005-0000-0000-0000B3000000}"/>
    <cellStyle name="Normal 5 13" xfId="274" xr:uid="{00000000-0005-0000-0000-0000B4000000}"/>
    <cellStyle name="Normal 5 2" xfId="87" xr:uid="{00000000-0005-0000-0000-0000B5000000}"/>
    <cellStyle name="Normal 5 2 2" xfId="88" xr:uid="{00000000-0005-0000-0000-0000B6000000}"/>
    <cellStyle name="Normal 5 2 2 2" xfId="89" xr:uid="{00000000-0005-0000-0000-0000B7000000}"/>
    <cellStyle name="Normal 5 2 3" xfId="90" xr:uid="{00000000-0005-0000-0000-0000B8000000}"/>
    <cellStyle name="Normal 5 2 4" xfId="91" xr:uid="{00000000-0005-0000-0000-0000B9000000}"/>
    <cellStyle name="Normal 5 3" xfId="92" xr:uid="{00000000-0005-0000-0000-0000BA000000}"/>
    <cellStyle name="Normal 5 3 2" xfId="93" xr:uid="{00000000-0005-0000-0000-0000BB000000}"/>
    <cellStyle name="Normal 5 3 3" xfId="94" xr:uid="{00000000-0005-0000-0000-0000BC000000}"/>
    <cellStyle name="Normal 5 4" xfId="95" xr:uid="{00000000-0005-0000-0000-0000BD000000}"/>
    <cellStyle name="Normal 5 4 2" xfId="96" xr:uid="{00000000-0005-0000-0000-0000BE000000}"/>
    <cellStyle name="Normal 5 5" xfId="97" xr:uid="{00000000-0005-0000-0000-0000BF000000}"/>
    <cellStyle name="Normal 5 5 2" xfId="98" xr:uid="{00000000-0005-0000-0000-0000C0000000}"/>
    <cellStyle name="Normal 5 6" xfId="99" xr:uid="{00000000-0005-0000-0000-0000C1000000}"/>
    <cellStyle name="Normal 5 6 2" xfId="100" xr:uid="{00000000-0005-0000-0000-0000C2000000}"/>
    <cellStyle name="Normal 5 7" xfId="101" xr:uid="{00000000-0005-0000-0000-0000C3000000}"/>
    <cellStyle name="Normal 5 8" xfId="102" xr:uid="{00000000-0005-0000-0000-0000C4000000}"/>
    <cellStyle name="Normal 5 9" xfId="103" xr:uid="{00000000-0005-0000-0000-0000C5000000}"/>
    <cellStyle name="Normal 6" xfId="17" xr:uid="{00000000-0005-0000-0000-0000C6000000}"/>
    <cellStyle name="Normal 6 2" xfId="275" xr:uid="{00000000-0005-0000-0000-0000C7000000}"/>
    <cellStyle name="Normal 7" xfId="104" xr:uid="{00000000-0005-0000-0000-0000C8000000}"/>
    <cellStyle name="Normal 7 2" xfId="105" xr:uid="{00000000-0005-0000-0000-0000C9000000}"/>
    <cellStyle name="Normal 7 2 2" xfId="106" xr:uid="{00000000-0005-0000-0000-0000CA000000}"/>
    <cellStyle name="Normal 7 2 3" xfId="107" xr:uid="{00000000-0005-0000-0000-0000CB000000}"/>
    <cellStyle name="Normal 7 3" xfId="108" xr:uid="{00000000-0005-0000-0000-0000CC000000}"/>
    <cellStyle name="Normal 7 3 2" xfId="109" xr:uid="{00000000-0005-0000-0000-0000CD000000}"/>
    <cellStyle name="Normal 7 4" xfId="110" xr:uid="{00000000-0005-0000-0000-0000CE000000}"/>
    <cellStyle name="Normal 7 4 2" xfId="111" xr:uid="{00000000-0005-0000-0000-0000CF000000}"/>
    <cellStyle name="Normal 7 5" xfId="112" xr:uid="{00000000-0005-0000-0000-0000D0000000}"/>
    <cellStyle name="Normal 7 5 2" xfId="113" xr:uid="{00000000-0005-0000-0000-0000D1000000}"/>
    <cellStyle name="Normal 7 6" xfId="114" xr:uid="{00000000-0005-0000-0000-0000D2000000}"/>
    <cellStyle name="Normal 7 7" xfId="115" xr:uid="{00000000-0005-0000-0000-0000D3000000}"/>
    <cellStyle name="Normal 7 8" xfId="116" xr:uid="{00000000-0005-0000-0000-0000D4000000}"/>
    <cellStyle name="Normal 8" xfId="14" xr:uid="{00000000-0005-0000-0000-0000D5000000}"/>
    <cellStyle name="Normal 8 2" xfId="117" xr:uid="{00000000-0005-0000-0000-0000D6000000}"/>
    <cellStyle name="Normal 8 2 2" xfId="118" xr:uid="{00000000-0005-0000-0000-0000D7000000}"/>
    <cellStyle name="Normal 8 3" xfId="119" xr:uid="{00000000-0005-0000-0000-0000D8000000}"/>
    <cellStyle name="Normal 8 3 2" xfId="120" xr:uid="{00000000-0005-0000-0000-0000D9000000}"/>
    <cellStyle name="Normal 8 4" xfId="121" xr:uid="{00000000-0005-0000-0000-0000DA000000}"/>
    <cellStyle name="Normal 8 4 2" xfId="122" xr:uid="{00000000-0005-0000-0000-0000DB000000}"/>
    <cellStyle name="Normal 8 5" xfId="123" xr:uid="{00000000-0005-0000-0000-0000DC000000}"/>
    <cellStyle name="Normal 9" xfId="124" xr:uid="{00000000-0005-0000-0000-0000DD000000}"/>
    <cellStyle name="Normal_summary.tables" xfId="313" xr:uid="{00000000-0005-0000-0000-0000DF000000}"/>
    <cellStyle name="Note 2" xfId="276" xr:uid="{00000000-0005-0000-0000-0000E0000000}"/>
    <cellStyle name="Note 2 2" xfId="320" xr:uid="{00000000-0005-0000-0000-0000E1000000}"/>
    <cellStyle name="Note 3" xfId="277" xr:uid="{00000000-0005-0000-0000-0000E2000000}"/>
    <cellStyle name="Note 4" xfId="278" xr:uid="{00000000-0005-0000-0000-0000E3000000}"/>
    <cellStyle name="Note 5" xfId="279" xr:uid="{00000000-0005-0000-0000-0000E4000000}"/>
    <cellStyle name="Output 2" xfId="280" xr:uid="{00000000-0005-0000-0000-0000E5000000}"/>
    <cellStyle name="Percent 2" xfId="8" xr:uid="{00000000-0005-0000-0000-0000E7000000}"/>
    <cellStyle name="Percent 2 2" xfId="125" xr:uid="{00000000-0005-0000-0000-0000E8000000}"/>
    <cellStyle name="Percent 2 2 10" xfId="281" xr:uid="{00000000-0005-0000-0000-0000E9000000}"/>
    <cellStyle name="Percent 2 2 11" xfId="282" xr:uid="{00000000-0005-0000-0000-0000EA000000}"/>
    <cellStyle name="Percent 2 2 12" xfId="283" xr:uid="{00000000-0005-0000-0000-0000EB000000}"/>
    <cellStyle name="Percent 2 2 2" xfId="126" xr:uid="{00000000-0005-0000-0000-0000EC000000}"/>
    <cellStyle name="Percent 2 2 2 2" xfId="127" xr:uid="{00000000-0005-0000-0000-0000ED000000}"/>
    <cellStyle name="Percent 2 2 3" xfId="128" xr:uid="{00000000-0005-0000-0000-0000EE000000}"/>
    <cellStyle name="Percent 2 2 4" xfId="129" xr:uid="{00000000-0005-0000-0000-0000EF000000}"/>
    <cellStyle name="Percent 2 2 5" xfId="284" xr:uid="{00000000-0005-0000-0000-0000F0000000}"/>
    <cellStyle name="Percent 2 2 6" xfId="285" xr:uid="{00000000-0005-0000-0000-0000F1000000}"/>
    <cellStyle name="Percent 2 2 7" xfId="286" xr:uid="{00000000-0005-0000-0000-0000F2000000}"/>
    <cellStyle name="Percent 2 2 8" xfId="287" xr:uid="{00000000-0005-0000-0000-0000F3000000}"/>
    <cellStyle name="Percent 2 2 9" xfId="288" xr:uid="{00000000-0005-0000-0000-0000F4000000}"/>
    <cellStyle name="Percent 2 3" xfId="130" xr:uid="{00000000-0005-0000-0000-0000F5000000}"/>
    <cellStyle name="Percent 2 3 10" xfId="289" xr:uid="{00000000-0005-0000-0000-0000F6000000}"/>
    <cellStyle name="Percent 2 3 11" xfId="290" xr:uid="{00000000-0005-0000-0000-0000F7000000}"/>
    <cellStyle name="Percent 2 3 12" xfId="291" xr:uid="{00000000-0005-0000-0000-0000F8000000}"/>
    <cellStyle name="Percent 2 3 2" xfId="131" xr:uid="{00000000-0005-0000-0000-0000F9000000}"/>
    <cellStyle name="Percent 2 3 3" xfId="132" xr:uid="{00000000-0005-0000-0000-0000FA000000}"/>
    <cellStyle name="Percent 2 3 4" xfId="292" xr:uid="{00000000-0005-0000-0000-0000FB000000}"/>
    <cellStyle name="Percent 2 3 5" xfId="293" xr:uid="{00000000-0005-0000-0000-0000FC000000}"/>
    <cellStyle name="Percent 2 3 6" xfId="294" xr:uid="{00000000-0005-0000-0000-0000FD000000}"/>
    <cellStyle name="Percent 2 3 7" xfId="295" xr:uid="{00000000-0005-0000-0000-0000FE000000}"/>
    <cellStyle name="Percent 2 3 8" xfId="296" xr:uid="{00000000-0005-0000-0000-0000FF000000}"/>
    <cellStyle name="Percent 2 3 9" xfId="297" xr:uid="{00000000-0005-0000-0000-000000010000}"/>
    <cellStyle name="Percent 2 4" xfId="133" xr:uid="{00000000-0005-0000-0000-000001010000}"/>
    <cellStyle name="Percent 2 4 10" xfId="298" xr:uid="{00000000-0005-0000-0000-000002010000}"/>
    <cellStyle name="Percent 2 4 11" xfId="299" xr:uid="{00000000-0005-0000-0000-000003010000}"/>
    <cellStyle name="Percent 2 4 12" xfId="300" xr:uid="{00000000-0005-0000-0000-000004010000}"/>
    <cellStyle name="Percent 2 4 2" xfId="134" xr:uid="{00000000-0005-0000-0000-000005010000}"/>
    <cellStyle name="Percent 2 4 3" xfId="301" xr:uid="{00000000-0005-0000-0000-000006010000}"/>
    <cellStyle name="Percent 2 4 4" xfId="302" xr:uid="{00000000-0005-0000-0000-000007010000}"/>
    <cellStyle name="Percent 2 4 5" xfId="303" xr:uid="{00000000-0005-0000-0000-000008010000}"/>
    <cellStyle name="Percent 2 4 6" xfId="304" xr:uid="{00000000-0005-0000-0000-000009010000}"/>
    <cellStyle name="Percent 2 4 7" xfId="305" xr:uid="{00000000-0005-0000-0000-00000A010000}"/>
    <cellStyle name="Percent 2 4 8" xfId="306" xr:uid="{00000000-0005-0000-0000-00000B010000}"/>
    <cellStyle name="Percent 2 4 9" xfId="307" xr:uid="{00000000-0005-0000-0000-00000C010000}"/>
    <cellStyle name="Percent 2 5" xfId="135" xr:uid="{00000000-0005-0000-0000-00000D010000}"/>
    <cellStyle name="Percent 2 5 2" xfId="136" xr:uid="{00000000-0005-0000-0000-00000E010000}"/>
    <cellStyle name="Percent 2 6" xfId="137" xr:uid="{00000000-0005-0000-0000-00000F010000}"/>
    <cellStyle name="Percent 2 6 2" xfId="138" xr:uid="{00000000-0005-0000-0000-000010010000}"/>
    <cellStyle name="Percent 2 7" xfId="139" xr:uid="{00000000-0005-0000-0000-000011010000}"/>
    <cellStyle name="Percent 2 8" xfId="140" xr:uid="{00000000-0005-0000-0000-000012010000}"/>
    <cellStyle name="Percent 2 9" xfId="141" xr:uid="{00000000-0005-0000-0000-000013010000}"/>
    <cellStyle name="Percent 3" xfId="16" xr:uid="{00000000-0005-0000-0000-000014010000}"/>
    <cellStyle name="Percent 3 2" xfId="142" xr:uid="{00000000-0005-0000-0000-000015010000}"/>
    <cellStyle name="Percent 3 2 2" xfId="143" xr:uid="{00000000-0005-0000-0000-000016010000}"/>
    <cellStyle name="Percent 3 2 2 2" xfId="144" xr:uid="{00000000-0005-0000-0000-000017010000}"/>
    <cellStyle name="Percent 3 2 3" xfId="145" xr:uid="{00000000-0005-0000-0000-000018010000}"/>
    <cellStyle name="Percent 3 2 4" xfId="146" xr:uid="{00000000-0005-0000-0000-000019010000}"/>
    <cellStyle name="Percent 3 3" xfId="147" xr:uid="{00000000-0005-0000-0000-00001A010000}"/>
    <cellStyle name="Percent 3 3 2" xfId="148" xr:uid="{00000000-0005-0000-0000-00001B010000}"/>
    <cellStyle name="Percent 3 3 3" xfId="149" xr:uid="{00000000-0005-0000-0000-00001C010000}"/>
    <cellStyle name="Percent 3 4" xfId="150" xr:uid="{00000000-0005-0000-0000-00001D010000}"/>
    <cellStyle name="Percent 3 4 2" xfId="151" xr:uid="{00000000-0005-0000-0000-00001E010000}"/>
    <cellStyle name="Percent 3 5" xfId="152" xr:uid="{00000000-0005-0000-0000-00001F010000}"/>
    <cellStyle name="Percent 3 5 2" xfId="153" xr:uid="{00000000-0005-0000-0000-000020010000}"/>
    <cellStyle name="Percent 3 6" xfId="154" xr:uid="{00000000-0005-0000-0000-000021010000}"/>
    <cellStyle name="Percent 3 6 2" xfId="155" xr:uid="{00000000-0005-0000-0000-000022010000}"/>
    <cellStyle name="Percent 3 7" xfId="156" xr:uid="{00000000-0005-0000-0000-000023010000}"/>
    <cellStyle name="Percent 3 8" xfId="157" xr:uid="{00000000-0005-0000-0000-000024010000}"/>
    <cellStyle name="Percent 3 9" xfId="158" xr:uid="{00000000-0005-0000-0000-000025010000}"/>
    <cellStyle name="Percent 4" xfId="159" xr:uid="{00000000-0005-0000-0000-000026010000}"/>
    <cellStyle name="Percent 4 2" xfId="160" xr:uid="{00000000-0005-0000-0000-000027010000}"/>
    <cellStyle name="Percent 4 2 2" xfId="161" xr:uid="{00000000-0005-0000-0000-000028010000}"/>
    <cellStyle name="Percent 4 2 2 2" xfId="162" xr:uid="{00000000-0005-0000-0000-000029010000}"/>
    <cellStyle name="Percent 4 2 3" xfId="163" xr:uid="{00000000-0005-0000-0000-00002A010000}"/>
    <cellStyle name="Percent 4 2 4" xfId="164" xr:uid="{00000000-0005-0000-0000-00002B010000}"/>
    <cellStyle name="Percent 4 3" xfId="165" xr:uid="{00000000-0005-0000-0000-00002C010000}"/>
    <cellStyle name="Percent 4 3 2" xfId="166" xr:uid="{00000000-0005-0000-0000-00002D010000}"/>
    <cellStyle name="Percent 4 3 3" xfId="167" xr:uid="{00000000-0005-0000-0000-00002E010000}"/>
    <cellStyle name="Percent 4 4" xfId="168" xr:uid="{00000000-0005-0000-0000-00002F010000}"/>
    <cellStyle name="Percent 4 4 2" xfId="169" xr:uid="{00000000-0005-0000-0000-000030010000}"/>
    <cellStyle name="Percent 4 5" xfId="170" xr:uid="{00000000-0005-0000-0000-000031010000}"/>
    <cellStyle name="Percent 4 5 2" xfId="171" xr:uid="{00000000-0005-0000-0000-000032010000}"/>
    <cellStyle name="Percent 4 6" xfId="172" xr:uid="{00000000-0005-0000-0000-000033010000}"/>
    <cellStyle name="Percent 4 6 2" xfId="173" xr:uid="{00000000-0005-0000-0000-000034010000}"/>
    <cellStyle name="Percent 4 7" xfId="174" xr:uid="{00000000-0005-0000-0000-000035010000}"/>
    <cellStyle name="Percent 4 8" xfId="175" xr:uid="{00000000-0005-0000-0000-000036010000}"/>
    <cellStyle name="Percent 4 9" xfId="176" xr:uid="{00000000-0005-0000-0000-000037010000}"/>
    <cellStyle name="Percent 5" xfId="177" xr:uid="{00000000-0005-0000-0000-000038010000}"/>
    <cellStyle name="Percent 5 2" xfId="178" xr:uid="{00000000-0005-0000-0000-000039010000}"/>
    <cellStyle name="Percent 5 2 2" xfId="179" xr:uid="{00000000-0005-0000-0000-00003A010000}"/>
    <cellStyle name="Percent 5 2 3" xfId="180" xr:uid="{00000000-0005-0000-0000-00003B010000}"/>
    <cellStyle name="Percent 5 3" xfId="181" xr:uid="{00000000-0005-0000-0000-00003C010000}"/>
    <cellStyle name="Percent 5 3 2" xfId="182" xr:uid="{00000000-0005-0000-0000-00003D010000}"/>
    <cellStyle name="Percent 5 4" xfId="183" xr:uid="{00000000-0005-0000-0000-00003E010000}"/>
    <cellStyle name="Percent 5 4 2" xfId="184" xr:uid="{00000000-0005-0000-0000-00003F010000}"/>
    <cellStyle name="Percent 5 5" xfId="185" xr:uid="{00000000-0005-0000-0000-000040010000}"/>
    <cellStyle name="Percent 5 5 2" xfId="186" xr:uid="{00000000-0005-0000-0000-000041010000}"/>
    <cellStyle name="Percent 5 6" xfId="187" xr:uid="{00000000-0005-0000-0000-000042010000}"/>
    <cellStyle name="Percent 5 7" xfId="188" xr:uid="{00000000-0005-0000-0000-000043010000}"/>
    <cellStyle name="Percent 5 8" xfId="189" xr:uid="{00000000-0005-0000-0000-000044010000}"/>
    <cellStyle name="Percent 6" xfId="308" xr:uid="{00000000-0005-0000-0000-000045010000}"/>
    <cellStyle name="Percent 9" xfId="309" xr:uid="{00000000-0005-0000-0000-000046010000}"/>
    <cellStyle name="Title" xfId="316" builtinId="15" customBuiltin="1"/>
    <cellStyle name="Total 2" xfId="310" xr:uid="{00000000-0005-0000-0000-000048010000}"/>
    <cellStyle name="Warning Text 2" xfId="311" xr:uid="{00000000-0005-0000-0000-000049010000}"/>
  </cellStyles>
  <dxfs count="0"/>
  <tableStyles count="0" defaultTableStyle="TableStyleMedium2" defaultPivotStyle="PivotStyleLight16"/>
  <colors>
    <mruColors>
      <color rgb="FFFFFFCC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B85C-A245-4928-8C59-210E627E6AC6}">
  <sheetPr>
    <pageSetUpPr fitToPage="1"/>
  </sheetPr>
  <dimension ref="A2:O10"/>
  <sheetViews>
    <sheetView tabSelected="1" zoomScaleNormal="100" workbookViewId="0">
      <selection activeCell="M9" sqref="M9"/>
    </sheetView>
  </sheetViews>
  <sheetFormatPr baseColWidth="10" defaultColWidth="9.1640625" defaultRowHeight="15" customHeight="1"/>
  <cols>
    <col min="1" max="1" width="108" style="1" customWidth="1"/>
    <col min="2" max="2" width="15" style="2" customWidth="1"/>
    <col min="3" max="13" width="10.83203125" style="1" customWidth="1"/>
    <col min="14" max="14" width="12.1640625" style="1" customWidth="1"/>
    <col min="15" max="15" width="2.83203125" style="1" customWidth="1"/>
    <col min="16" max="16384" width="9.1640625" style="1"/>
  </cols>
  <sheetData>
    <row r="2" spans="1:15" ht="15" customHeight="1">
      <c r="A2" s="3" t="s">
        <v>7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ht="15" customHeight="1">
      <c r="A3" s="16" t="s">
        <v>0</v>
      </c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s="9" customFormat="1" ht="42" customHeight="1">
      <c r="A4" s="10"/>
      <c r="B4" s="11" t="s">
        <v>1</v>
      </c>
      <c r="C4" s="12">
        <v>2025</v>
      </c>
      <c r="D4" s="12">
        <v>2026</v>
      </c>
      <c r="E4" s="12">
        <v>2027</v>
      </c>
      <c r="F4" s="12">
        <v>2028</v>
      </c>
      <c r="G4" s="12">
        <v>2029</v>
      </c>
      <c r="H4" s="12">
        <v>2030</v>
      </c>
      <c r="I4" s="12">
        <v>2031</v>
      </c>
      <c r="J4" s="12">
        <v>2032</v>
      </c>
      <c r="K4" s="12">
        <v>2033</v>
      </c>
      <c r="L4" s="12">
        <v>2034</v>
      </c>
      <c r="M4" s="13" t="s">
        <v>2</v>
      </c>
      <c r="N4" s="13" t="s">
        <v>3</v>
      </c>
      <c r="O4" s="14"/>
    </row>
    <row r="5" spans="1:15" ht="35.25" customHeight="1">
      <c r="A5" s="15"/>
      <c r="B5" s="19" t="s">
        <v>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ht="15" customHeight="1">
      <c r="A6" s="1" t="s">
        <v>8</v>
      </c>
      <c r="B6" s="17" t="s">
        <v>6</v>
      </c>
      <c r="C6" s="7">
        <v>0</v>
      </c>
      <c r="D6" s="7">
        <v>291597.94320214202</v>
      </c>
      <c r="E6" s="7">
        <v>300102.346817891</v>
      </c>
      <c r="F6" s="7">
        <v>308534.49112206901</v>
      </c>
      <c r="G6" s="7">
        <v>317788.441220693</v>
      </c>
      <c r="H6" s="7">
        <v>326954.35492405802</v>
      </c>
      <c r="I6" s="7">
        <v>336243.075795268</v>
      </c>
      <c r="J6" s="7">
        <v>345567.33775766904</v>
      </c>
      <c r="K6" s="7">
        <v>355000.50758050598</v>
      </c>
      <c r="L6" s="7">
        <v>364504.35132910905</v>
      </c>
      <c r="M6" s="7">
        <f>SUM(C6:G6)</f>
        <v>1218023.2223627951</v>
      </c>
      <c r="N6" s="7">
        <f>SUM(C6:L6)</f>
        <v>2946292.8497494054</v>
      </c>
    </row>
    <row r="7" spans="1:15" ht="15" customHeight="1">
      <c r="A7" s="1" t="s">
        <v>9</v>
      </c>
      <c r="B7" s="17" t="s">
        <v>6</v>
      </c>
      <c r="C7" s="7">
        <v>-47822.918465941002</v>
      </c>
      <c r="D7" s="7">
        <v>-50321.100611972906</v>
      </c>
      <c r="E7" s="7">
        <v>-53498.894995848095</v>
      </c>
      <c r="F7" s="7">
        <v>-56276.052900370902</v>
      </c>
      <c r="G7" s="7">
        <v>-59243.872416846803</v>
      </c>
      <c r="H7" s="7">
        <v>-62288.145507573201</v>
      </c>
      <c r="I7" s="7">
        <v>-65516.727239720698</v>
      </c>
      <c r="J7" s="7">
        <v>-68739.979159784707</v>
      </c>
      <c r="K7" s="7">
        <v>-72020.67581261009</v>
      </c>
      <c r="L7" s="7">
        <v>-75371.259730707505</v>
      </c>
      <c r="M7" s="7">
        <f t="shared" ref="M7:M9" si="0">SUM(C7:G7)</f>
        <v>-267162.83939097973</v>
      </c>
      <c r="N7" s="7">
        <f t="shared" ref="N7:N9" si="1">SUM(C7:L7)</f>
        <v>-611099.62684137595</v>
      </c>
    </row>
    <row r="8" spans="1:15" ht="15" customHeight="1">
      <c r="A8" s="1" t="s">
        <v>10</v>
      </c>
      <c r="B8" s="18" t="s">
        <v>6</v>
      </c>
      <c r="C8" s="7">
        <v>-3.9013304628922101</v>
      </c>
      <c r="D8" s="7">
        <v>2.5990145374087801</v>
      </c>
      <c r="E8" s="7">
        <v>9.6907302764252794</v>
      </c>
      <c r="F8" s="7">
        <v>18.032855175563501</v>
      </c>
      <c r="G8" s="7">
        <v>27.5613434557898</v>
      </c>
      <c r="H8" s="7">
        <v>38.378605232120002</v>
      </c>
      <c r="I8" s="7">
        <v>50.651170057315703</v>
      </c>
      <c r="J8" s="7">
        <v>64.3861429309882</v>
      </c>
      <c r="K8" s="7">
        <v>79.759896005402894</v>
      </c>
      <c r="L8" s="7">
        <v>96.916725329034108</v>
      </c>
      <c r="M8" s="7">
        <f t="shared" si="0"/>
        <v>53.982612982295151</v>
      </c>
      <c r="N8" s="7">
        <f t="shared" si="1"/>
        <v>384.0751525371561</v>
      </c>
    </row>
    <row r="9" spans="1:15" ht="15" customHeight="1">
      <c r="A9" s="1" t="s">
        <v>5</v>
      </c>
      <c r="B9" s="18" t="s">
        <v>6</v>
      </c>
      <c r="C9" s="7">
        <f>SUM(C6:C8)</f>
        <v>-47826.819796403892</v>
      </c>
      <c r="D9" s="7">
        <f t="shared" ref="D9:L9" si="2">SUM(D6:D8)</f>
        <v>241279.44160470652</v>
      </c>
      <c r="E9" s="7">
        <f t="shared" si="2"/>
        <v>246613.14255231933</v>
      </c>
      <c r="F9" s="7">
        <f t="shared" si="2"/>
        <v>252276.47107687365</v>
      </c>
      <c r="G9" s="7">
        <f t="shared" si="2"/>
        <v>258572.130147302</v>
      </c>
      <c r="H9" s="7">
        <f t="shared" si="2"/>
        <v>264704.58802171692</v>
      </c>
      <c r="I9" s="7">
        <f t="shared" si="2"/>
        <v>270776.9997256046</v>
      </c>
      <c r="J9" s="7">
        <f t="shared" si="2"/>
        <v>276891.74474081531</v>
      </c>
      <c r="K9" s="7">
        <f t="shared" si="2"/>
        <v>283059.59166390129</v>
      </c>
      <c r="L9" s="7">
        <f t="shared" si="2"/>
        <v>289230.00832373055</v>
      </c>
      <c r="M9" s="7">
        <f t="shared" si="0"/>
        <v>950914.36558479769</v>
      </c>
      <c r="N9" s="7">
        <f t="shared" si="1"/>
        <v>2335577.2980605667</v>
      </c>
    </row>
    <row r="10" spans="1:15" ht="15" customHeight="1"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</sheetData>
  <mergeCells count="1">
    <mergeCell ref="B5:O5"/>
  </mergeCells>
  <pageMargins left="0.7" right="0.7" top="0.75" bottom="0.75" header="0.3" footer="0.3"/>
  <pageSetup scale="43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CBO Original</vt:lpstr>
      <vt:lpstr>'CBO Original'!Print_Area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2024-05-07T21:16:18Z</dcterms:created>
  <dcterms:modified xsi:type="dcterms:W3CDTF">2024-09-12T16:05:55Z</dcterms:modified>
  <cp:category/>
  <cp:contentStatus/>
</cp:coreProperties>
</file>