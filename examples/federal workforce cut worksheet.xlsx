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ifeng/GitHub/OG-USA/examples/"/>
    </mc:Choice>
  </mc:AlternateContent>
  <xr:revisionPtr revIDLastSave="0" documentId="13_ncr:1_{44E2DB2F-93AF-824F-BADD-37CA75E250AE}" xr6:coauthVersionLast="47" xr6:coauthVersionMax="47" xr10:uidLastSave="{00000000-0000-0000-0000-000000000000}"/>
  <bookViews>
    <workbookView xWindow="1100" yWindow="820" windowWidth="28040" windowHeight="16640" activeTab="1" xr2:uid="{884DDF7C-D734-1E4B-8874-77C80F5C858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D3" i="2"/>
  <c r="E3" i="2" s="1"/>
  <c r="G3" i="2" s="1"/>
  <c r="H3" i="2" s="1"/>
  <c r="D2" i="2"/>
  <c r="C3" i="2"/>
  <c r="C4" i="2" s="1"/>
  <c r="C5" i="2" s="1"/>
  <c r="C6" i="2" s="1"/>
  <c r="F2" i="1"/>
  <c r="E3" i="1"/>
  <c r="F3" i="1" s="1"/>
  <c r="E4" i="1"/>
  <c r="F4" i="1" s="1"/>
  <c r="E5" i="1"/>
  <c r="F5" i="1" s="1"/>
  <c r="E6" i="1"/>
  <c r="F6" i="1" s="1"/>
  <c r="E2" i="1"/>
  <c r="C3" i="1"/>
  <c r="C4" i="1" s="1"/>
  <c r="C5" i="1" s="1"/>
  <c r="C6" i="1" s="1"/>
  <c r="D2" i="1"/>
  <c r="D3" i="1" s="1"/>
  <c r="D4" i="1" s="1"/>
  <c r="D5" i="1" s="1"/>
  <c r="D6" i="1" s="1"/>
  <c r="F3" i="2" l="1"/>
  <c r="F4" i="2" s="1"/>
  <c r="D6" i="2"/>
  <c r="D5" i="2"/>
  <c r="D4" i="2"/>
  <c r="E4" i="2" s="1"/>
  <c r="E5" i="2" l="1"/>
  <c r="G5" i="2" s="1"/>
  <c r="G4" i="2"/>
  <c r="F5" i="2"/>
  <c r="F6" i="2" s="1"/>
  <c r="H4" i="2"/>
  <c r="E6" i="2" l="1"/>
  <c r="G6" i="2" s="1"/>
  <c r="H6" i="2"/>
  <c r="H5" i="2"/>
</calcChain>
</file>

<file path=xl/sharedStrings.xml><?xml version="1.0" encoding="utf-8"?>
<sst xmlns="http://schemas.openxmlformats.org/spreadsheetml/2006/main" count="14" uniqueCount="9">
  <si>
    <t>cut</t>
  </si>
  <si>
    <t>fed force</t>
  </si>
  <si>
    <t>pvt force</t>
  </si>
  <si>
    <t>year</t>
  </si>
  <si>
    <t>prod level</t>
  </si>
  <si>
    <t>normalized</t>
  </si>
  <si>
    <t>transfer</t>
  </si>
  <si>
    <t>pvt</t>
  </si>
  <si>
    <t>non-fed-gov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</si>
</sst>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2EDFA-8970-D643-A22A-926776ED815B}">
  <dimension ref="A1:F6"/>
  <sheetViews>
    <sheetView workbookViewId="0">
      <selection sqref="A1:F6"/>
    </sheetView>
  </sheetViews>
  <sheetFormatPr baseColWidth="10" defaultRowHeight="16" x14ac:dyDescent="0.2"/>
  <sheetData>
    <row r="1" spans="1:6" x14ac:dyDescent="0.2">
      <c r="A1" t="s">
        <v>3</v>
      </c>
      <c r="B1" t="s">
        <v>0</v>
      </c>
      <c r="C1" t="s">
        <v>1</v>
      </c>
      <c r="D1" t="s">
        <v>2</v>
      </c>
      <c r="E1" t="s">
        <v>5</v>
      </c>
      <c r="F1" t="s">
        <v>4</v>
      </c>
    </row>
    <row r="2" spans="1:6" x14ac:dyDescent="0.2">
      <c r="A2">
        <v>0</v>
      </c>
      <c r="B2" s="1"/>
      <c r="C2">
        <v>3</v>
      </c>
      <c r="D2">
        <f>159-C2</f>
        <v>156</v>
      </c>
      <c r="E2">
        <f>D2/$D$2</f>
        <v>1</v>
      </c>
      <c r="F2">
        <f>E2^(0.13)</f>
        <v>1</v>
      </c>
    </row>
    <row r="3" spans="1:6" x14ac:dyDescent="0.2">
      <c r="A3">
        <v>1</v>
      </c>
      <c r="B3" s="1">
        <v>0.1</v>
      </c>
      <c r="C3">
        <f>C2*(1-B3)</f>
        <v>2.7</v>
      </c>
      <c r="D3">
        <f>D2+C2*B3</f>
        <v>156.30000000000001</v>
      </c>
      <c r="E3">
        <f t="shared" ref="E3:E6" si="0">D3/$D$2</f>
        <v>1.0019230769230769</v>
      </c>
      <c r="F3">
        <f t="shared" ref="F3:F6" si="1">E3^(0.13)</f>
        <v>1.0002497911157326</v>
      </c>
    </row>
    <row r="4" spans="1:6" x14ac:dyDescent="0.2">
      <c r="A4">
        <v>2</v>
      </c>
      <c r="B4" s="1">
        <v>0.1</v>
      </c>
      <c r="C4">
        <f>C3*(1-B4)</f>
        <v>2.4300000000000002</v>
      </c>
      <c r="D4">
        <f>D3+C3*B4</f>
        <v>156.57000000000002</v>
      </c>
      <c r="E4">
        <f t="shared" si="0"/>
        <v>1.0036538461538462</v>
      </c>
      <c r="F4">
        <f t="shared" si="1"/>
        <v>1.0004742467390495</v>
      </c>
    </row>
    <row r="5" spans="1:6" x14ac:dyDescent="0.2">
      <c r="A5">
        <v>3</v>
      </c>
      <c r="B5" s="1">
        <v>0.1</v>
      </c>
      <c r="C5">
        <f t="shared" ref="C5:C6" si="2">C4*(1-B5)</f>
        <v>2.1870000000000003</v>
      </c>
      <c r="D5">
        <f t="shared" ref="D5:D6" si="3">D4+C4*B5</f>
        <v>156.81300000000002</v>
      </c>
      <c r="E5">
        <f t="shared" si="0"/>
        <v>1.0052115384615385</v>
      </c>
      <c r="F5">
        <f t="shared" si="1"/>
        <v>1.0006759690653177</v>
      </c>
    </row>
    <row r="6" spans="1:6" x14ac:dyDescent="0.2">
      <c r="A6">
        <v>4</v>
      </c>
      <c r="B6" s="1">
        <v>0.1</v>
      </c>
      <c r="C6">
        <f t="shared" si="2"/>
        <v>1.9683000000000004</v>
      </c>
      <c r="D6">
        <f t="shared" si="3"/>
        <v>157.03170000000003</v>
      </c>
      <c r="E6">
        <f t="shared" si="0"/>
        <v>1.0066134615384617</v>
      </c>
      <c r="F6">
        <f t="shared" si="1"/>
        <v>1.0008572867713421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ADFC2-0E80-354A-A31B-4342D6C40E72}">
  <dimension ref="A1:H6"/>
  <sheetViews>
    <sheetView tabSelected="1" workbookViewId="0">
      <selection activeCell="J2" sqref="J2:N6"/>
    </sheetView>
  </sheetViews>
  <sheetFormatPr baseColWidth="10" defaultRowHeight="16" x14ac:dyDescent="0.2"/>
  <sheetData>
    <row r="1" spans="1:8" x14ac:dyDescent="0.2">
      <c r="A1" t="s">
        <v>3</v>
      </c>
      <c r="B1" t="s">
        <v>0</v>
      </c>
      <c r="C1" t="s">
        <v>1</v>
      </c>
      <c r="D1" t="s">
        <v>6</v>
      </c>
      <c r="E1" t="s">
        <v>7</v>
      </c>
      <c r="F1" t="s">
        <v>8</v>
      </c>
      <c r="G1" t="s">
        <v>5</v>
      </c>
      <c r="H1" t="s">
        <v>4</v>
      </c>
    </row>
    <row r="2" spans="1:8" x14ac:dyDescent="0.2">
      <c r="A2">
        <v>0</v>
      </c>
      <c r="B2" s="1"/>
      <c r="C2">
        <v>3</v>
      </c>
      <c r="D2">
        <f>0</f>
        <v>0</v>
      </c>
      <c r="E2">
        <v>135.5</v>
      </c>
      <c r="F2">
        <f>5.5+15</f>
        <v>20.5</v>
      </c>
      <c r="G2">
        <v>1</v>
      </c>
      <c r="H2">
        <v>1</v>
      </c>
    </row>
    <row r="3" spans="1:8" x14ac:dyDescent="0.2">
      <c r="A3">
        <v>1</v>
      </c>
      <c r="B3" s="1">
        <v>0.1</v>
      </c>
      <c r="C3">
        <f>C2*(1-B3)</f>
        <v>2.7</v>
      </c>
      <c r="D3">
        <f>C2*0.1</f>
        <v>0.30000000000000004</v>
      </c>
      <c r="E3">
        <f>E2+$D3*($E2/($E2+$F2))</f>
        <v>135.76057692307691</v>
      </c>
      <c r="F3">
        <f>F2+$D3*($E2/($E2+$F2))</f>
        <v>20.760576923076922</v>
      </c>
      <c r="G3">
        <f>E3/$E$2</f>
        <v>1.0019230769230769</v>
      </c>
      <c r="H3">
        <f>G3^(0.13)</f>
        <v>1.0002497911157326</v>
      </c>
    </row>
    <row r="4" spans="1:8" x14ac:dyDescent="0.2">
      <c r="A4">
        <v>2</v>
      </c>
      <c r="B4" s="1">
        <v>0.1</v>
      </c>
      <c r="C4">
        <f>C3*(1-B4)</f>
        <v>2.4300000000000002</v>
      </c>
      <c r="D4">
        <f t="shared" ref="D4:D6" si="0">C3*0.1</f>
        <v>0.27</v>
      </c>
      <c r="E4">
        <f t="shared" ref="E4:E6" si="1">E3+$D4*($E3/($E3+$F3))</f>
        <v>135.99476479397174</v>
      </c>
      <c r="F4">
        <f t="shared" ref="F4:F6" si="2">F3+$D4*($E3/($E3+$F3))</f>
        <v>20.99476479397174</v>
      </c>
      <c r="G4">
        <f t="shared" ref="G4:G6" si="3">E4/$E$2</f>
        <v>1.0036514006935184</v>
      </c>
      <c r="H4">
        <f t="shared" ref="H4:H6" si="4">G4^(0.13)</f>
        <v>1.000473929836017</v>
      </c>
    </row>
    <row r="5" spans="1:8" x14ac:dyDescent="0.2">
      <c r="A5">
        <v>3</v>
      </c>
      <c r="B5" s="1">
        <v>0.1</v>
      </c>
      <c r="C5">
        <f t="shared" ref="C5:C6" si="5">C4*(1-B5)</f>
        <v>2.1870000000000003</v>
      </c>
      <c r="D5">
        <f t="shared" si="0"/>
        <v>0.24300000000000002</v>
      </c>
      <c r="E5">
        <f t="shared" si="1"/>
        <v>136.20526754489833</v>
      </c>
      <c r="F5">
        <f t="shared" si="2"/>
        <v>21.205267544898341</v>
      </c>
      <c r="G5">
        <f t="shared" si="3"/>
        <v>1.0052049265306151</v>
      </c>
      <c r="H5">
        <f t="shared" si="4"/>
        <v>1.0006751133901906</v>
      </c>
    </row>
    <row r="6" spans="1:8" x14ac:dyDescent="0.2">
      <c r="A6">
        <v>4</v>
      </c>
      <c r="B6" s="1">
        <v>0.1</v>
      </c>
      <c r="C6">
        <f t="shared" si="5"/>
        <v>1.9683000000000004</v>
      </c>
      <c r="D6">
        <f t="shared" si="0"/>
        <v>0.21870000000000003</v>
      </c>
      <c r="E6">
        <f t="shared" si="1"/>
        <v>136.3945057810499</v>
      </c>
      <c r="F6">
        <f t="shared" si="2"/>
        <v>21.394505781049919</v>
      </c>
      <c r="G6">
        <f t="shared" si="3"/>
        <v>1.0066015186793351</v>
      </c>
      <c r="H6">
        <f t="shared" si="4"/>
        <v>1.0008557430698473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Weifeng Zhong</dc:creator>
  <cp:lastModifiedBy>Weifeng Zhong</cp:lastModifiedBy>
  <dcterms:created xsi:type="dcterms:W3CDTF">2024-11-12T20:08:04Z</dcterms:created>
  <dcterms:modified xsi:type="dcterms:W3CDTF">2024-11-14T17:43:15Z</dcterms:modified>
</cp:coreProperties>
</file>